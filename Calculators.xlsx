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lock Rate" sheetId="2" r:id="rId5"/>
  </sheets>
  <definedNames/>
  <calcPr/>
</workbook>
</file>

<file path=xl/sharedStrings.xml><?xml version="1.0" encoding="utf-8"?>
<sst xmlns="http://schemas.openxmlformats.org/spreadsheetml/2006/main" count="393" uniqueCount="121">
  <si>
    <t>Calculator</t>
  </si>
  <si>
    <t>Image</t>
  </si>
  <si>
    <t>CPU</t>
  </si>
  <si>
    <t>Memory</t>
  </si>
  <si>
    <t>Physical Characteristics</t>
  </si>
  <si>
    <t>Programming</t>
  </si>
  <si>
    <t>Link Ports</t>
  </si>
  <si>
    <t>Initial MSRP</t>
  </si>
  <si>
    <t>Use on College Board Standardized Tests</t>
  </si>
  <si>
    <t>Processor</t>
  </si>
  <si>
    <t>Clock Rate (MHz)</t>
  </si>
  <si>
    <t>RAM (KB)</t>
  </si>
  <si>
    <t>ROM (KB)</t>
  </si>
  <si>
    <t>Display Size</t>
  </si>
  <si>
    <t>Physical Size (mm)</t>
  </si>
  <si>
    <t>Weight (g)</t>
  </si>
  <si>
    <t>Power Supply</t>
  </si>
  <si>
    <t>TI-Basic</t>
  </si>
  <si>
    <t>Assembly</t>
  </si>
  <si>
    <t>Flash</t>
  </si>
  <si>
    <t>Lua</t>
  </si>
  <si>
    <t>I/O Port</t>
  </si>
  <si>
    <t>Mini-USB Port</t>
  </si>
  <si>
    <t>Year Released</t>
  </si>
  <si>
    <t>Predecessors</t>
  </si>
  <si>
    <t>Successors</t>
  </si>
  <si>
    <t>TI-73</t>
  </si>
  <si>
    <t>Zilog Z80</t>
  </si>
  <si>
    <t>96×64 pixels 
16×8 characters</t>
  </si>
  <si>
    <t>182 x 81 x 20</t>
  </si>
  <si>
    <t>4 AAA, 1 CR1620 (35mA)</t>
  </si>
  <si>
    <t>Yes</t>
  </si>
  <si>
    <t>via Mallard</t>
  </si>
  <si>
    <t>No</t>
  </si>
  <si>
    <t>TI-80</t>
  </si>
  <si>
    <t>TI-73 Explorer</t>
  </si>
  <si>
    <t>Allowed</t>
  </si>
  <si>
    <t>182 x 81 x 20/190 x 84 x 22</t>
  </si>
  <si>
    <t>182/208</t>
  </si>
  <si>
    <t>None</t>
  </si>
  <si>
    <t>64×48 pixels 
16×8 characters</t>
  </si>
  <si>
    <t>163 × 71 × 15</t>
  </si>
  <si>
    <t>2 CR2032 (35mA)</t>
  </si>
  <si>
    <t>Discontinued</t>
  </si>
  <si>
    <t>TI-81</t>
  </si>
  <si>
    <t>172 × 80 × 21</t>
  </si>
  <si>
    <t>4 AAA, 1 CR1616 or CR1620</t>
  </si>
  <si>
    <t>Using exploits</t>
  </si>
  <si>
    <t>TI-82</t>
  </si>
  <si>
    <t>6.9 × 3.4 × 1.0[5]</t>
  </si>
  <si>
    <t>TI-83</t>
  </si>
  <si>
    <t>7.3 × 3.5 × 1.0[6]</t>
  </si>
  <si>
    <t>TI-83 Plus</t>
  </si>
  <si>
    <t>32 (24 user accessible)</t>
  </si>
  <si>
    <t>512 (160 user accessible)</t>
  </si>
  <si>
    <t>7.3 × 3.5 × 1.0[7]</t>
  </si>
  <si>
    <t>TI-83 Plus Silver Edition, TI-84 Plus</t>
  </si>
  <si>
    <t>TI-83 Plus Silver Edition</t>
  </si>
  <si>
    <t>128 (24 user accessible)</t>
  </si>
  <si>
    <t>2000 (1500 user accessible)</t>
  </si>
  <si>
    <t>TI-84 Plus Silver Edition</t>
  </si>
  <si>
    <t>TI-84 Plus</t>
  </si>
  <si>
    <t>48/128 (24 user accessible)</t>
  </si>
  <si>
    <t>1000 (480 user accessible)</t>
  </si>
  <si>
    <t>190 x 84 x 22</t>
  </si>
  <si>
    <t>4 AAA, 1 SR44 (35mA)</t>
  </si>
  <si>
    <t>TI-84 Plus Silver Edition, TI-Nspire</t>
  </si>
  <si>
    <t>TI-84 Plus C Silver Edition</t>
  </si>
  <si>
    <t>128 (21 user accessible)</t>
  </si>
  <si>
    <t>4000 (3500 user accessible)</t>
  </si>
  <si>
    <t>320×240 pixels 
26×10 characters (large font)</t>
  </si>
  <si>
    <t>3.7L1200SP Li-Ion</t>
  </si>
  <si>
    <t>TI-84 Plus, TI-84 Plus Silver Edition</t>
  </si>
  <si>
    <t>TI-84 Plus CE</t>
  </si>
  <si>
    <t>150 
Discontinued</t>
  </si>
  <si>
    <t>Zilog eZ80</t>
  </si>
  <si>
    <t>256 (154 user accessible)</t>
  </si>
  <si>
    <t>4000 (3000 user accessible)</t>
  </si>
  <si>
    <t>190 x 82 x 16</t>
  </si>
  <si>
    <t>TI-85</t>
  </si>
  <si>
    <t>128×64 pixels 
21×8 characters</t>
  </si>
  <si>
    <t>6.875 x 3.31 x 0.938</t>
  </si>
  <si>
    <t>TI-86</t>
  </si>
  <si>
    <t>130 
Discontinued</t>
  </si>
  <si>
    <t xml:space="preserve">None </t>
  </si>
  <si>
    <t>TI-89</t>
  </si>
  <si>
    <t>Motorola 68000</t>
  </si>
  <si>
    <t>256 (188 user accessible)</t>
  </si>
  <si>
    <t>2000 (639 user accessible)</t>
  </si>
  <si>
    <t>160×100 pixels</t>
  </si>
  <si>
    <t>7.3 × 3.5 × 1.0[10]</t>
  </si>
  <si>
    <t>TI-92, TI-92 II</t>
  </si>
  <si>
    <t>TI-89 Titanium</t>
  </si>
  <si>
    <t>159.99 
Discontinued</t>
  </si>
  <si>
    <t>4000 (2700 user accessible)</t>
  </si>
  <si>
    <t>Unknown</t>
  </si>
  <si>
    <t>TI-Nspire CAS</t>
  </si>
  <si>
    <t>68/136</t>
  </si>
  <si>
    <t>240×128 pixels</t>
  </si>
  <si>
    <t>1995/1996</t>
  </si>
  <si>
    <t>TI-89, TI-92 Plus</t>
  </si>
  <si>
    <t>200 (TI-92) 
Discontinued</t>
  </si>
  <si>
    <t>Banned due to QWERTY keyboard</t>
  </si>
  <si>
    <t>TI-92 Plus</t>
  </si>
  <si>
    <t>4.7 × 8.2 × 1.5[11]</t>
  </si>
  <si>
    <t>Voyage 200</t>
  </si>
  <si>
    <t>179.99 
Discontinued</t>
  </si>
  <si>
    <t>256 KB of RAM (188 KB user accessible)</t>
  </si>
  <si>
    <t>4.6 × 7.3 × 1.2[12]</t>
  </si>
  <si>
    <t>TI-Nspire</t>
  </si>
  <si>
    <t>ARM9</t>
  </si>
  <si>
    <t>320×240 pixels (16-shade grayscale)</t>
  </si>
  <si>
    <t>7.90625 × 3.9375 × 0.96875</t>
  </si>
  <si>
    <t>TI-Nspire CX</t>
  </si>
  <si>
    <t>149 (CAS: 159)</t>
  </si>
  <si>
    <t>TI-Nspire CX CAS</t>
  </si>
  <si>
    <t>320×240 pixels (16-bit color)</t>
  </si>
  <si>
    <t>190 x 87 x 16</t>
  </si>
  <si>
    <t>TI-Nspire CX II</t>
  </si>
  <si>
    <t>154.99 (CAS: 162.99)</t>
  </si>
  <si>
    <t>TI-Nspire CX II 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</si>
</sst>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</font>
    <font>
      <sz val="12.0"/>
      <color rgb="FF000000"/>
      <name val="VT323"/>
    </font>
    <font/>
    <font>
      <color theme="1"/>
      <name val="Calibri"/>
    </font>
    <font>
      <u/>
      <sz val="12.0"/>
      <color rgb="FF000000"/>
      <name val="VT323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vertical="bottom" wrapText="1"/>
    </xf>
    <xf borderId="5" fillId="0" fontId="2" numFmtId="0" xfId="0" applyBorder="1" applyFont="1"/>
    <xf borderId="6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11" fillId="3" fontId="1" numFmtId="164" xfId="0" applyAlignment="1" applyBorder="1" applyFont="1" applyNumberForma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4" fillId="3" fontId="1" numFmtId="164" xfId="0" applyAlignment="1" applyBorder="1" applyFont="1" applyNumberForma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17" fillId="3" fontId="1" numFmtId="164" xfId="0" applyAlignment="1" applyBorder="1" applyFont="1" applyNumberForma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>Clock Rate (MHz) vs. Year Released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Data!$D$1:$D$2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Data!$Q$3:$Q$27</c:f>
            </c:numRef>
          </c:xVal>
          <c:yVal>
            <c:numRef>
              <c:f>Data!$D$3:$D$27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467605"/>
        <c:axId val="1072582072"/>
      </c:scatterChart>
      <c:valAx>
        <c:axId val="16144676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t>Year Released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72582072"/>
      </c:valAx>
      <c:valAx>
        <c:axId val="1072582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t>Clock Rate (MHz)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61446760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TI-92_series" TargetMode="External"/><Relationship Id="rId11" Type="http://schemas.openxmlformats.org/officeDocument/2006/relationships/hyperlink" Target="https://en.wikipedia.org/wiki/Comparison_of_Texas_Instruments_graphing_calculators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en.wikipedia.org/wiki/TI-85" TargetMode="External"/><Relationship Id="rId21" Type="http://schemas.openxmlformats.org/officeDocument/2006/relationships/hyperlink" Target="https://en.wikipedia.org/wiki/TI-Nspire" TargetMode="External"/><Relationship Id="rId13" Type="http://schemas.openxmlformats.org/officeDocument/2006/relationships/hyperlink" Target="https://en.wikipedia.org/wiki/TI-89_Titanium" TargetMode="External"/><Relationship Id="rId12" Type="http://schemas.openxmlformats.org/officeDocument/2006/relationships/hyperlink" Target="https://en.wikipedia.org/wiki/TI-92_series" TargetMode="External"/><Relationship Id="rId1" Type="http://schemas.openxmlformats.org/officeDocument/2006/relationships/hyperlink" Target="https://en.wikipedia.org/wiki/Comparison_of_Texas_Instruments_graphing_calculators" TargetMode="External"/><Relationship Id="rId2" Type="http://schemas.openxmlformats.org/officeDocument/2006/relationships/hyperlink" Target="https://en.wikipedia.org/wiki/TI-81" TargetMode="External"/><Relationship Id="rId3" Type="http://schemas.openxmlformats.org/officeDocument/2006/relationships/hyperlink" Target="https://en.wikipedia.org/wiki/TI-83" TargetMode="External"/><Relationship Id="rId4" Type="http://schemas.openxmlformats.org/officeDocument/2006/relationships/hyperlink" Target="https://en.wikipedia.org/wiki/Comparison_of_Texas_Instruments_graphing_calculators" TargetMode="External"/><Relationship Id="rId9" Type="http://schemas.openxmlformats.org/officeDocument/2006/relationships/hyperlink" Target="https://en.wikipedia.org/wiki/TI-86" TargetMode="External"/><Relationship Id="rId15" Type="http://schemas.openxmlformats.org/officeDocument/2006/relationships/hyperlink" Target="https://en.wikipedia.org/wiki/TI-Nspire" TargetMode="External"/><Relationship Id="rId14" Type="http://schemas.openxmlformats.org/officeDocument/2006/relationships/hyperlink" Target="https://en.wikipedia.org/wiki/TI-89" TargetMode="External"/><Relationship Id="rId17" Type="http://schemas.openxmlformats.org/officeDocument/2006/relationships/hyperlink" Target="https://en.wikipedia.org/wiki/TI-92_series" TargetMode="External"/><Relationship Id="rId16" Type="http://schemas.openxmlformats.org/officeDocument/2006/relationships/hyperlink" Target="https://en.wikipedia.org/wiki/Comparison_of_Texas_Instruments_graphing_calculators" TargetMode="External"/><Relationship Id="rId5" Type="http://schemas.openxmlformats.org/officeDocument/2006/relationships/hyperlink" Target="https://en.wikipedia.org/wiki/TI-82" TargetMode="External"/><Relationship Id="rId19" Type="http://schemas.openxmlformats.org/officeDocument/2006/relationships/hyperlink" Target="https://en.wikipedia.org/wiki/Comparison_of_Texas_Instruments_graphing_calculators" TargetMode="External"/><Relationship Id="rId6" Type="http://schemas.openxmlformats.org/officeDocument/2006/relationships/hyperlink" Target="https://en.wikipedia.org/wiki/TI-83_Plus" TargetMode="External"/><Relationship Id="rId18" Type="http://schemas.openxmlformats.org/officeDocument/2006/relationships/hyperlink" Target="https://en.wikipedia.org/wiki/TI-92_series" TargetMode="External"/><Relationship Id="rId7" Type="http://schemas.openxmlformats.org/officeDocument/2006/relationships/hyperlink" Target="https://en.wikipedia.org/wiki/Comparison_of_Texas_Instruments_graphing_calculators" TargetMode="External"/><Relationship Id="rId8" Type="http://schemas.openxmlformats.org/officeDocument/2006/relationships/hyperlink" Target="https://en.wikipedia.org/wiki/TI-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1" width="14.43"/>
  </cols>
  <sheetData>
    <row r="1" ht="37.5" customHeight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2" t="s">
        <v>4</v>
      </c>
      <c r="H1" s="4"/>
      <c r="I1" s="4"/>
      <c r="J1" s="3"/>
      <c r="K1" s="2" t="s">
        <v>5</v>
      </c>
      <c r="L1" s="4"/>
      <c r="M1" s="4"/>
      <c r="N1" s="3"/>
      <c r="O1" s="2" t="s">
        <v>6</v>
      </c>
      <c r="P1" s="3"/>
      <c r="Q1" s="5"/>
      <c r="R1" s="5"/>
      <c r="S1" s="5"/>
      <c r="T1" s="6" t="s">
        <v>7</v>
      </c>
      <c r="U1" s="7" t="s">
        <v>8</v>
      </c>
    </row>
    <row r="2" ht="37.5" customHeight="1">
      <c r="A2" s="8"/>
      <c r="B2" s="8"/>
      <c r="C2" s="9" t="s">
        <v>9</v>
      </c>
      <c r="D2" s="10" t="s">
        <v>10</v>
      </c>
      <c r="E2" s="9" t="s">
        <v>11</v>
      </c>
      <c r="F2" s="10" t="s">
        <v>12</v>
      </c>
      <c r="G2" s="9" t="s">
        <v>13</v>
      </c>
      <c r="H2" s="11" t="s">
        <v>14</v>
      </c>
      <c r="I2" s="11" t="s">
        <v>15</v>
      </c>
      <c r="J2" s="10" t="s">
        <v>16</v>
      </c>
      <c r="K2" s="9" t="s">
        <v>17</v>
      </c>
      <c r="L2" s="11" t="s">
        <v>18</v>
      </c>
      <c r="M2" s="11" t="s">
        <v>19</v>
      </c>
      <c r="N2" s="10" t="s">
        <v>20</v>
      </c>
      <c r="O2" s="9" t="s">
        <v>21</v>
      </c>
      <c r="P2" s="10" t="s">
        <v>22</v>
      </c>
      <c r="Q2" s="5" t="s">
        <v>23</v>
      </c>
      <c r="R2" s="5" t="s">
        <v>24</v>
      </c>
      <c r="S2" s="5" t="s">
        <v>25</v>
      </c>
    </row>
    <row r="3" ht="75.0" customHeight="1">
      <c r="A3" s="12" t="s">
        <v>26</v>
      </c>
      <c r="B3" s="13" t="str">
        <f>image("https://pim-resources.coleparmer.com/item/l/texas-instruments-ti-73-graphing-calculator-with-case-1731110.jpg")</f>
        <v/>
      </c>
      <c r="C3" s="14" t="s">
        <v>27</v>
      </c>
      <c r="D3" s="14">
        <v>6.0</v>
      </c>
      <c r="E3" s="14">
        <v>25.0</v>
      </c>
      <c r="F3" s="14">
        <v>512.0</v>
      </c>
      <c r="G3" s="14" t="s">
        <v>28</v>
      </c>
      <c r="H3" s="14" t="s">
        <v>29</v>
      </c>
      <c r="I3" s="14">
        <v>182.0</v>
      </c>
      <c r="J3" s="14" t="s">
        <v>30</v>
      </c>
      <c r="K3" s="14" t="s">
        <v>31</v>
      </c>
      <c r="L3" s="14" t="s">
        <v>32</v>
      </c>
      <c r="M3" s="14" t="s">
        <v>31</v>
      </c>
      <c r="N3" s="14" t="s">
        <v>33</v>
      </c>
      <c r="O3" s="14" t="s">
        <v>31</v>
      </c>
      <c r="P3" s="14" t="s">
        <v>33</v>
      </c>
      <c r="Q3" s="14">
        <v>1998.0</v>
      </c>
      <c r="R3" s="14" t="s">
        <v>34</v>
      </c>
      <c r="S3" s="14" t="s">
        <v>35</v>
      </c>
      <c r="T3" s="15">
        <v>95.0</v>
      </c>
      <c r="U3" s="16" t="s">
        <v>36</v>
      </c>
    </row>
    <row r="4" ht="75.0" customHeight="1">
      <c r="A4" s="12" t="s">
        <v>35</v>
      </c>
      <c r="B4" s="17" t="str">
        <f>image("https://www.schoolmart.com/site/wp-content/uploads/2015/12/TI-73_Explorer_graphing_calculator_PARCC_High_School.jpg")</f>
        <v/>
      </c>
      <c r="C4" s="18" t="s">
        <v>27</v>
      </c>
      <c r="D4" s="18">
        <v>6.0</v>
      </c>
      <c r="E4" s="18">
        <v>25.0</v>
      </c>
      <c r="F4" s="18">
        <v>512.0</v>
      </c>
      <c r="G4" s="18" t="s">
        <v>28</v>
      </c>
      <c r="H4" s="18" t="s">
        <v>37</v>
      </c>
      <c r="I4" s="18" t="s">
        <v>38</v>
      </c>
      <c r="J4" s="18" t="s">
        <v>30</v>
      </c>
      <c r="K4" s="18" t="s">
        <v>31</v>
      </c>
      <c r="L4" s="18" t="s">
        <v>32</v>
      </c>
      <c r="M4" s="18" t="s">
        <v>31</v>
      </c>
      <c r="N4" s="18" t="s">
        <v>33</v>
      </c>
      <c r="O4" s="18" t="s">
        <v>31</v>
      </c>
      <c r="P4" s="18" t="s">
        <v>33</v>
      </c>
      <c r="Q4" s="18">
        <v>2003.0</v>
      </c>
      <c r="R4" s="18" t="s">
        <v>26</v>
      </c>
      <c r="S4" s="18" t="s">
        <v>39</v>
      </c>
      <c r="T4" s="19">
        <v>95.0</v>
      </c>
      <c r="U4" s="20" t="s">
        <v>36</v>
      </c>
    </row>
    <row r="5" ht="75.0" customHeight="1">
      <c r="A5" s="12" t="s">
        <v>34</v>
      </c>
      <c r="B5" s="17" t="str">
        <f>IMAGE("https://upload.wikimedia.org/wikipedia/commons/0/0a/TI-80.png")</f>
        <v/>
      </c>
      <c r="C5" s="18"/>
      <c r="D5" s="18">
        <v>0.98</v>
      </c>
      <c r="E5" s="18">
        <v>7.0</v>
      </c>
      <c r="F5" s="18">
        <v>0.0</v>
      </c>
      <c r="G5" s="18" t="s">
        <v>40</v>
      </c>
      <c r="H5" s="18" t="s">
        <v>41</v>
      </c>
      <c r="I5" s="18">
        <v>106.0</v>
      </c>
      <c r="J5" s="18" t="s">
        <v>42</v>
      </c>
      <c r="K5" s="18" t="s">
        <v>31</v>
      </c>
      <c r="L5" s="18" t="s">
        <v>33</v>
      </c>
      <c r="M5" s="18" t="s">
        <v>33</v>
      </c>
      <c r="N5" s="18" t="s">
        <v>33</v>
      </c>
      <c r="O5" s="18" t="s">
        <v>33</v>
      </c>
      <c r="P5" s="18" t="s">
        <v>33</v>
      </c>
      <c r="Q5" s="18">
        <v>1995.0</v>
      </c>
      <c r="R5" s="18" t="s">
        <v>39</v>
      </c>
      <c r="S5" s="18" t="s">
        <v>26</v>
      </c>
      <c r="T5" s="19" t="s">
        <v>43</v>
      </c>
      <c r="U5" s="20" t="s">
        <v>36</v>
      </c>
    </row>
    <row r="6" ht="75.0" customHeight="1">
      <c r="A6" s="12" t="s">
        <v>44</v>
      </c>
      <c r="B6" s="17" t="str">
        <f>IMAGE("https://upload.wikimedia.org/wikipedia/commons/2/2d/TI-81.png")</f>
        <v/>
      </c>
      <c r="C6" s="18" t="s">
        <v>27</v>
      </c>
      <c r="D6" s="18">
        <v>2.0</v>
      </c>
      <c r="E6" s="18">
        <v>2.4</v>
      </c>
      <c r="F6" s="18">
        <v>0.0</v>
      </c>
      <c r="G6" s="18" t="s">
        <v>28</v>
      </c>
      <c r="H6" s="18" t="s">
        <v>45</v>
      </c>
      <c r="I6" s="18">
        <v>172.0</v>
      </c>
      <c r="J6" s="18" t="s">
        <v>46</v>
      </c>
      <c r="K6" s="18" t="s">
        <v>31</v>
      </c>
      <c r="L6" s="18" t="s">
        <v>47</v>
      </c>
      <c r="M6" s="18" t="s">
        <v>33</v>
      </c>
      <c r="N6" s="18" t="s">
        <v>33</v>
      </c>
      <c r="O6" s="18" t="s">
        <v>33</v>
      </c>
      <c r="P6" s="18" t="s">
        <v>33</v>
      </c>
      <c r="Q6" s="18">
        <v>1990.0</v>
      </c>
      <c r="R6" s="18" t="s">
        <v>39</v>
      </c>
      <c r="S6" s="18" t="s">
        <v>48</v>
      </c>
      <c r="T6" s="19">
        <v>110.0</v>
      </c>
      <c r="U6" s="20" t="s">
        <v>36</v>
      </c>
    </row>
    <row r="7" ht="75.0" customHeight="1">
      <c r="A7" s="12" t="s">
        <v>48</v>
      </c>
      <c r="B7" s="17" t="str">
        <f>image("https://upload.wikimedia.org/wikipedia/commons/3/34/TI-82.png")</f>
        <v/>
      </c>
      <c r="C7" s="18" t="s">
        <v>27</v>
      </c>
      <c r="D7" s="18">
        <v>6.0</v>
      </c>
      <c r="E7" s="18">
        <v>28.0</v>
      </c>
      <c r="F7" s="18">
        <v>0.0</v>
      </c>
      <c r="G7" s="18" t="s">
        <v>28</v>
      </c>
      <c r="H7" s="21" t="s">
        <v>49</v>
      </c>
      <c r="I7" s="18">
        <v>159.0</v>
      </c>
      <c r="J7" s="18" t="s">
        <v>46</v>
      </c>
      <c r="K7" s="18" t="s">
        <v>31</v>
      </c>
      <c r="L7" s="18" t="s">
        <v>47</v>
      </c>
      <c r="M7" s="18" t="s">
        <v>33</v>
      </c>
      <c r="N7" s="18" t="s">
        <v>33</v>
      </c>
      <c r="O7" s="18" t="s">
        <v>31</v>
      </c>
      <c r="P7" s="18" t="s">
        <v>33</v>
      </c>
      <c r="Q7" s="18">
        <v>1993.0</v>
      </c>
      <c r="R7" s="21" t="s">
        <v>44</v>
      </c>
      <c r="S7" s="21" t="s">
        <v>50</v>
      </c>
      <c r="T7" s="19" t="s">
        <v>43</v>
      </c>
      <c r="U7" s="20" t="s">
        <v>36</v>
      </c>
    </row>
    <row r="8" ht="75.0" customHeight="1">
      <c r="A8" s="12" t="s">
        <v>50</v>
      </c>
      <c r="B8" s="17" t="str">
        <f>image("https://vignette.wikia.nocookie.net/uncyclopedia/images/4/4d/TI-83.png/revision/latest?cb=20080329013208")</f>
        <v/>
      </c>
      <c r="C8" s="18" t="s">
        <v>27</v>
      </c>
      <c r="D8" s="18">
        <v>6.0</v>
      </c>
      <c r="E8" s="18">
        <v>32.0</v>
      </c>
      <c r="F8" s="18">
        <v>0.0</v>
      </c>
      <c r="G8" s="18" t="s">
        <v>28</v>
      </c>
      <c r="H8" s="21" t="s">
        <v>51</v>
      </c>
      <c r="I8" s="18"/>
      <c r="J8" s="18"/>
      <c r="K8" s="18" t="s">
        <v>31</v>
      </c>
      <c r="L8" s="18" t="s">
        <v>31</v>
      </c>
      <c r="M8" s="18" t="s">
        <v>33</v>
      </c>
      <c r="N8" s="18" t="s">
        <v>33</v>
      </c>
      <c r="O8" s="18" t="s">
        <v>31</v>
      </c>
      <c r="P8" s="18" t="s">
        <v>33</v>
      </c>
      <c r="Q8" s="18">
        <v>1996.0</v>
      </c>
      <c r="R8" s="21" t="s">
        <v>48</v>
      </c>
      <c r="S8" s="21" t="s">
        <v>52</v>
      </c>
      <c r="T8" s="19">
        <v>125.0</v>
      </c>
      <c r="U8" s="20" t="s">
        <v>36</v>
      </c>
    </row>
    <row r="9" ht="75.0" customHeight="1">
      <c r="A9" s="12" t="s">
        <v>52</v>
      </c>
      <c r="B9" s="17" t="str">
        <f>image("https://content.etilize.com/2000/10664107.jpg")</f>
        <v/>
      </c>
      <c r="C9" s="18" t="s">
        <v>27</v>
      </c>
      <c r="D9" s="18">
        <v>6.0</v>
      </c>
      <c r="E9" s="18" t="s">
        <v>53</v>
      </c>
      <c r="F9" s="18" t="s">
        <v>54</v>
      </c>
      <c r="G9" s="18" t="s">
        <v>28</v>
      </c>
      <c r="H9" s="21" t="s">
        <v>55</v>
      </c>
      <c r="I9" s="18"/>
      <c r="J9" s="18"/>
      <c r="K9" s="18" t="s">
        <v>31</v>
      </c>
      <c r="L9" s="18" t="s">
        <v>31</v>
      </c>
      <c r="M9" s="18" t="s">
        <v>31</v>
      </c>
      <c r="N9" s="18" t="s">
        <v>33</v>
      </c>
      <c r="O9" s="18" t="s">
        <v>31</v>
      </c>
      <c r="P9" s="18" t="s">
        <v>33</v>
      </c>
      <c r="Q9" s="18">
        <v>1999.0</v>
      </c>
      <c r="R9" s="21" t="s">
        <v>50</v>
      </c>
      <c r="S9" s="18" t="s">
        <v>56</v>
      </c>
      <c r="T9" s="19">
        <v>104.99</v>
      </c>
      <c r="U9" s="20" t="s">
        <v>36</v>
      </c>
    </row>
    <row r="10" ht="75.0" customHeight="1">
      <c r="A10" s="12" t="s">
        <v>57</v>
      </c>
      <c r="B10" s="22" t="str">
        <f>image("https://pmcdn.priceminister.com/photo/Ti-83-Plus-Silver-1119608575_L.jpg")</f>
        <v/>
      </c>
      <c r="C10" s="18" t="s">
        <v>27</v>
      </c>
      <c r="D10" s="18">
        <v>15.0</v>
      </c>
      <c r="E10" s="18" t="s">
        <v>58</v>
      </c>
      <c r="F10" s="18" t="s">
        <v>59</v>
      </c>
      <c r="G10" s="18" t="s">
        <v>28</v>
      </c>
      <c r="H10" s="18" t="s">
        <v>29</v>
      </c>
      <c r="I10" s="18">
        <v>182.0</v>
      </c>
      <c r="J10" s="18" t="s">
        <v>30</v>
      </c>
      <c r="K10" s="18" t="s">
        <v>31</v>
      </c>
      <c r="L10" s="18" t="s">
        <v>31</v>
      </c>
      <c r="M10" s="18" t="s">
        <v>31</v>
      </c>
      <c r="N10" s="18" t="s">
        <v>33</v>
      </c>
      <c r="O10" s="18" t="s">
        <v>31</v>
      </c>
      <c r="P10" s="18" t="s">
        <v>33</v>
      </c>
      <c r="Q10" s="18">
        <v>2001.0</v>
      </c>
      <c r="R10" s="18" t="s">
        <v>52</v>
      </c>
      <c r="S10" s="18" t="s">
        <v>60</v>
      </c>
      <c r="T10" s="19">
        <v>129.99</v>
      </c>
      <c r="U10" s="20" t="s">
        <v>36</v>
      </c>
    </row>
    <row r="11" ht="75.0" customHeight="1">
      <c r="A11" s="12" t="s">
        <v>61</v>
      </c>
      <c r="B11" s="17" t="str">
        <f>image("http://www.chip.de/ii/2/7/9/4/4/4/5/6/TI-84-Plus-Icon-544e5b007fb3726c.jpg")</f>
        <v/>
      </c>
      <c r="C11" s="18" t="s">
        <v>27</v>
      </c>
      <c r="D11" s="18">
        <v>15.0</v>
      </c>
      <c r="E11" s="18" t="s">
        <v>62</v>
      </c>
      <c r="F11" s="18" t="s">
        <v>63</v>
      </c>
      <c r="G11" s="18" t="s">
        <v>28</v>
      </c>
      <c r="H11" s="18" t="s">
        <v>64</v>
      </c>
      <c r="I11" s="18">
        <v>208.0</v>
      </c>
      <c r="J11" s="18" t="s">
        <v>65</v>
      </c>
      <c r="K11" s="18" t="s">
        <v>31</v>
      </c>
      <c r="L11" s="18" t="s">
        <v>31</v>
      </c>
      <c r="M11" s="18" t="s">
        <v>31</v>
      </c>
      <c r="N11" s="18" t="s">
        <v>33</v>
      </c>
      <c r="O11" s="18" t="s">
        <v>31</v>
      </c>
      <c r="P11" s="18" t="s">
        <v>31</v>
      </c>
      <c r="Q11" s="18">
        <v>2004.0</v>
      </c>
      <c r="R11" s="18" t="s">
        <v>52</v>
      </c>
      <c r="S11" s="18" t="s">
        <v>66</v>
      </c>
      <c r="T11" s="19"/>
      <c r="U11" s="20" t="s">
        <v>36</v>
      </c>
    </row>
    <row r="12" ht="75.0" customHeight="1">
      <c r="A12" s="12" t="s">
        <v>60</v>
      </c>
      <c r="B12" s="17" t="str">
        <f>image("https://i1.wp.com/www.calculatorti.com/files/ti-84-plus-silver-edition-se-graphing-calculator.jpg?resize=500%2C1048&amp;ssl=1")</f>
        <v/>
      </c>
      <c r="C12" s="18" t="s">
        <v>27</v>
      </c>
      <c r="D12" s="18">
        <v>15.0</v>
      </c>
      <c r="E12" s="18" t="s">
        <v>62</v>
      </c>
      <c r="F12" s="18" t="s">
        <v>59</v>
      </c>
      <c r="G12" s="18" t="s">
        <v>28</v>
      </c>
      <c r="H12" s="18" t="s">
        <v>64</v>
      </c>
      <c r="I12" s="18">
        <v>216.0</v>
      </c>
      <c r="J12" s="18" t="s">
        <v>65</v>
      </c>
      <c r="K12" s="18" t="s">
        <v>31</v>
      </c>
      <c r="L12" s="18" t="s">
        <v>31</v>
      </c>
      <c r="M12" s="18" t="s">
        <v>31</v>
      </c>
      <c r="N12" s="18" t="s">
        <v>33</v>
      </c>
      <c r="O12" s="18" t="s">
        <v>31</v>
      </c>
      <c r="P12" s="18" t="s">
        <v>31</v>
      </c>
      <c r="Q12" s="18">
        <v>2004.0</v>
      </c>
      <c r="R12" s="18" t="s">
        <v>56</v>
      </c>
      <c r="S12" s="18" t="s">
        <v>67</v>
      </c>
      <c r="T12" s="19"/>
      <c r="U12" s="20" t="s">
        <v>36</v>
      </c>
    </row>
    <row r="13" ht="75.0" customHeight="1">
      <c r="A13" s="12" t="s">
        <v>67</v>
      </c>
      <c r="B13" s="17" t="str">
        <f>image("https://tse2.mm.bing.net/th?id=OIP.zrc6b6LvUw_E2zDsjAkLBwHaJ4")</f>
        <v/>
      </c>
      <c r="C13" s="18" t="s">
        <v>27</v>
      </c>
      <c r="D13" s="18">
        <v>15.0</v>
      </c>
      <c r="E13" s="18" t="s">
        <v>68</v>
      </c>
      <c r="F13" s="18" t="s">
        <v>69</v>
      </c>
      <c r="G13" s="18" t="s">
        <v>70</v>
      </c>
      <c r="H13" s="18" t="s">
        <v>64</v>
      </c>
      <c r="I13" s="18">
        <v>223.0</v>
      </c>
      <c r="J13" s="18" t="s">
        <v>71</v>
      </c>
      <c r="K13" s="18" t="s">
        <v>31</v>
      </c>
      <c r="L13" s="18" t="s">
        <v>31</v>
      </c>
      <c r="M13" s="18" t="s">
        <v>31</v>
      </c>
      <c r="N13" s="18" t="s">
        <v>33</v>
      </c>
      <c r="O13" s="18" t="s">
        <v>31</v>
      </c>
      <c r="P13" s="18" t="s">
        <v>31</v>
      </c>
      <c r="Q13" s="18">
        <v>2013.0</v>
      </c>
      <c r="R13" s="18" t="s">
        <v>72</v>
      </c>
      <c r="S13" s="18" t="s">
        <v>73</v>
      </c>
      <c r="T13" s="19" t="s">
        <v>74</v>
      </c>
      <c r="U13" s="20" t="s">
        <v>36</v>
      </c>
    </row>
    <row r="14" ht="75.0" customHeight="1">
      <c r="A14" s="12" t="s">
        <v>73</v>
      </c>
      <c r="B14" s="17" t="str">
        <f>image("http://content.etilize.com/Original/1031870253.jpg")</f>
        <v/>
      </c>
      <c r="C14" s="18" t="s">
        <v>75</v>
      </c>
      <c r="D14" s="18">
        <v>48.0</v>
      </c>
      <c r="E14" s="18" t="s">
        <v>76</v>
      </c>
      <c r="F14" s="18" t="s">
        <v>77</v>
      </c>
      <c r="G14" s="18" t="s">
        <v>70</v>
      </c>
      <c r="H14" s="18" t="s">
        <v>78</v>
      </c>
      <c r="I14" s="18">
        <v>164.0</v>
      </c>
      <c r="J14" s="18" t="s">
        <v>71</v>
      </c>
      <c r="K14" s="18" t="s">
        <v>31</v>
      </c>
      <c r="L14" s="18" t="s">
        <v>31</v>
      </c>
      <c r="M14" s="18" t="s">
        <v>31</v>
      </c>
      <c r="N14" s="18" t="s">
        <v>33</v>
      </c>
      <c r="O14" s="18" t="s">
        <v>33</v>
      </c>
      <c r="P14" s="18" t="s">
        <v>31</v>
      </c>
      <c r="Q14" s="18">
        <v>2015.0</v>
      </c>
      <c r="R14" s="18" t="s">
        <v>67</v>
      </c>
      <c r="S14" s="18" t="s">
        <v>39</v>
      </c>
      <c r="T14" s="19">
        <v>150.0</v>
      </c>
      <c r="U14" s="20" t="s">
        <v>36</v>
      </c>
    </row>
    <row r="15" ht="75.0" customHeight="1">
      <c r="A15" s="12" t="s">
        <v>79</v>
      </c>
      <c r="B15" s="17" t="str">
        <f>image("https://static.fnac-static.com/multimedia/images_produits/grandes150/7/5/0/3243480006057/tsp20110629141037/TI-85.gif")</f>
        <v/>
      </c>
      <c r="C15" s="18" t="s">
        <v>27</v>
      </c>
      <c r="D15" s="18">
        <v>6.0</v>
      </c>
      <c r="E15" s="18">
        <v>28.0</v>
      </c>
      <c r="F15" s="18" t="s">
        <v>39</v>
      </c>
      <c r="G15" s="18" t="s">
        <v>80</v>
      </c>
      <c r="H15" s="18" t="s">
        <v>81</v>
      </c>
      <c r="I15" s="18"/>
      <c r="J15" s="18"/>
      <c r="K15" s="18" t="s">
        <v>31</v>
      </c>
      <c r="L15" s="18" t="s">
        <v>47</v>
      </c>
      <c r="M15" s="18" t="s">
        <v>33</v>
      </c>
      <c r="N15" s="18" t="s">
        <v>33</v>
      </c>
      <c r="O15" s="18" t="s">
        <v>31</v>
      </c>
      <c r="P15" s="18" t="s">
        <v>33</v>
      </c>
      <c r="Q15" s="18">
        <v>1992.0</v>
      </c>
      <c r="R15" s="18" t="s">
        <v>39</v>
      </c>
      <c r="S15" s="21" t="s">
        <v>82</v>
      </c>
      <c r="T15" s="19" t="s">
        <v>83</v>
      </c>
      <c r="U15" s="20" t="s">
        <v>36</v>
      </c>
    </row>
    <row r="16" ht="75.0" customHeight="1">
      <c r="A16" s="12" t="s">
        <v>82</v>
      </c>
      <c r="B16" s="17" t="str">
        <f>image("https://www.sellcalculators.com/v/vspfiles/photos/86-2.jpg")</f>
        <v/>
      </c>
      <c r="C16" s="18" t="s">
        <v>27</v>
      </c>
      <c r="D16" s="18">
        <v>6.0</v>
      </c>
      <c r="E16" s="18">
        <v>96.0</v>
      </c>
      <c r="F16" s="18" t="s">
        <v>84</v>
      </c>
      <c r="G16" s="18" t="s">
        <v>80</v>
      </c>
      <c r="H16" s="18" t="s">
        <v>29</v>
      </c>
      <c r="I16" s="18">
        <v>165.0</v>
      </c>
      <c r="J16" s="18" t="s">
        <v>46</v>
      </c>
      <c r="K16" s="18" t="s">
        <v>31</v>
      </c>
      <c r="L16" s="18" t="s">
        <v>31</v>
      </c>
      <c r="M16" s="18" t="s">
        <v>33</v>
      </c>
      <c r="N16" s="18" t="s">
        <v>33</v>
      </c>
      <c r="O16" s="18" t="s">
        <v>31</v>
      </c>
      <c r="P16" s="18" t="s">
        <v>33</v>
      </c>
      <c r="Q16" s="18">
        <v>1997.0</v>
      </c>
      <c r="R16" s="21" t="s">
        <v>79</v>
      </c>
      <c r="S16" s="18" t="s">
        <v>39</v>
      </c>
      <c r="T16" s="19" t="s">
        <v>74</v>
      </c>
      <c r="U16" s="20" t="s">
        <v>36</v>
      </c>
    </row>
    <row r="17" ht="75.0" customHeight="1">
      <c r="A17" s="12" t="s">
        <v>85</v>
      </c>
      <c r="B17" s="17" t="str">
        <f>image("https://upload.wikimedia.org/wikipedia/commons/0/0d/Texas_Instruments_TI-89.jpg")</f>
        <v/>
      </c>
      <c r="C17" s="18" t="s">
        <v>86</v>
      </c>
      <c r="D17" s="18">
        <v>12.0</v>
      </c>
      <c r="E17" s="18" t="s">
        <v>87</v>
      </c>
      <c r="F17" s="18" t="s">
        <v>88</v>
      </c>
      <c r="G17" s="18" t="s">
        <v>89</v>
      </c>
      <c r="H17" s="21" t="s">
        <v>90</v>
      </c>
      <c r="I17" s="18"/>
      <c r="J17" s="18"/>
      <c r="K17" s="18" t="s">
        <v>31</v>
      </c>
      <c r="L17" s="18" t="s">
        <v>31</v>
      </c>
      <c r="M17" s="18" t="s">
        <v>31</v>
      </c>
      <c r="N17" s="18" t="s">
        <v>33</v>
      </c>
      <c r="O17" s="18" t="s">
        <v>31</v>
      </c>
      <c r="P17" s="18" t="s">
        <v>33</v>
      </c>
      <c r="Q17" s="18">
        <v>1998.0</v>
      </c>
      <c r="R17" s="21" t="s">
        <v>91</v>
      </c>
      <c r="S17" s="21" t="s">
        <v>92</v>
      </c>
      <c r="T17" s="19" t="s">
        <v>93</v>
      </c>
      <c r="U17" s="20" t="s">
        <v>36</v>
      </c>
    </row>
    <row r="18" ht="75.0" customHeight="1">
      <c r="A18" s="12" t="s">
        <v>92</v>
      </c>
      <c r="B18" s="17" t="str">
        <f>image("https://de2wfhoo6xqi5.cloudfront.net/orig/505/736/32b57a7d26aef9212829261692e59965e2.jpg")</f>
        <v/>
      </c>
      <c r="C18" s="18" t="s">
        <v>86</v>
      </c>
      <c r="D18" s="18">
        <v>16.0</v>
      </c>
      <c r="E18" s="18" t="s">
        <v>87</v>
      </c>
      <c r="F18" s="18" t="s">
        <v>94</v>
      </c>
      <c r="G18" s="18" t="s">
        <v>89</v>
      </c>
      <c r="H18" s="18" t="s">
        <v>95</v>
      </c>
      <c r="I18" s="18"/>
      <c r="J18" s="18"/>
      <c r="K18" s="18" t="s">
        <v>31</v>
      </c>
      <c r="L18" s="18" t="s">
        <v>31</v>
      </c>
      <c r="M18" s="18" t="s">
        <v>31</v>
      </c>
      <c r="N18" s="18" t="s">
        <v>33</v>
      </c>
      <c r="O18" s="18" t="s">
        <v>31</v>
      </c>
      <c r="P18" s="18" t="s">
        <v>31</v>
      </c>
      <c r="Q18" s="18">
        <v>2004.0</v>
      </c>
      <c r="R18" s="21" t="s">
        <v>85</v>
      </c>
      <c r="S18" s="21" t="s">
        <v>96</v>
      </c>
      <c r="T18" s="19">
        <v>149.99</v>
      </c>
      <c r="U18" s="20" t="s">
        <v>36</v>
      </c>
    </row>
    <row r="19" ht="75.0" customHeight="1">
      <c r="A19" s="12" t="s">
        <v>91</v>
      </c>
      <c r="B19" s="17" t="str">
        <f>image("http://retrowiki.es/download/file.php?id=2000651&amp;sid=58923e7db4cf70b7cc54c556b6616b91")</f>
        <v/>
      </c>
      <c r="C19" s="18" t="s">
        <v>86</v>
      </c>
      <c r="D19" s="18">
        <v>10.0</v>
      </c>
      <c r="E19" s="18" t="s">
        <v>97</v>
      </c>
      <c r="F19" s="18" t="s">
        <v>39</v>
      </c>
      <c r="G19" s="18" t="s">
        <v>98</v>
      </c>
      <c r="H19" s="18" t="s">
        <v>95</v>
      </c>
      <c r="I19" s="18"/>
      <c r="J19" s="18"/>
      <c r="K19" s="18" t="s">
        <v>31</v>
      </c>
      <c r="L19" s="18" t="s">
        <v>47</v>
      </c>
      <c r="M19" s="18" t="s">
        <v>33</v>
      </c>
      <c r="N19" s="18" t="s">
        <v>33</v>
      </c>
      <c r="O19" s="18" t="s">
        <v>31</v>
      </c>
      <c r="P19" s="18" t="s">
        <v>33</v>
      </c>
      <c r="Q19" s="18" t="s">
        <v>99</v>
      </c>
      <c r="R19" s="18" t="s">
        <v>39</v>
      </c>
      <c r="S19" s="18" t="s">
        <v>100</v>
      </c>
      <c r="T19" s="19" t="s">
        <v>101</v>
      </c>
      <c r="U19" s="20" t="s">
        <v>102</v>
      </c>
    </row>
    <row r="20" ht="75.0" customHeight="1">
      <c r="A20" s="12" t="s">
        <v>103</v>
      </c>
      <c r="B20" s="17" t="str">
        <f>image("https://www.ticalc.org/images/calcs/92plus-big.gif")</f>
        <v/>
      </c>
      <c r="C20" s="18" t="s">
        <v>86</v>
      </c>
      <c r="D20" s="18">
        <v>12.0</v>
      </c>
      <c r="E20" s="18" t="s">
        <v>87</v>
      </c>
      <c r="F20" s="18">
        <v>384.0</v>
      </c>
      <c r="G20" s="18" t="s">
        <v>98</v>
      </c>
      <c r="H20" s="21" t="s">
        <v>104</v>
      </c>
      <c r="I20" s="18"/>
      <c r="J20" s="18"/>
      <c r="K20" s="18" t="s">
        <v>31</v>
      </c>
      <c r="L20" s="18" t="s">
        <v>31</v>
      </c>
      <c r="M20" s="18" t="s">
        <v>31</v>
      </c>
      <c r="N20" s="18" t="s">
        <v>33</v>
      </c>
      <c r="O20" s="18" t="s">
        <v>31</v>
      </c>
      <c r="P20" s="18" t="s">
        <v>33</v>
      </c>
      <c r="Q20" s="18">
        <v>1998.0</v>
      </c>
      <c r="R20" s="21" t="s">
        <v>91</v>
      </c>
      <c r="S20" s="21" t="s">
        <v>105</v>
      </c>
      <c r="T20" s="19" t="s">
        <v>106</v>
      </c>
      <c r="U20" s="20" t="s">
        <v>102</v>
      </c>
    </row>
    <row r="21" ht="75.0" customHeight="1">
      <c r="A21" s="12" t="s">
        <v>105</v>
      </c>
      <c r="B21" s="17" t="str">
        <f>image("https://falabella.scene7.com/is/image/Falabella/1075304_1?$producto308$&amp;wid=472&amp;hei=472")</f>
        <v/>
      </c>
      <c r="C21" s="18" t="s">
        <v>86</v>
      </c>
      <c r="D21" s="18">
        <v>12.0</v>
      </c>
      <c r="E21" s="18" t="s">
        <v>107</v>
      </c>
      <c r="F21" s="18">
        <v>2700.0</v>
      </c>
      <c r="G21" s="18" t="s">
        <v>98</v>
      </c>
      <c r="H21" s="21" t="s">
        <v>108</v>
      </c>
      <c r="I21" s="18"/>
      <c r="J21" s="18"/>
      <c r="K21" s="18" t="s">
        <v>31</v>
      </c>
      <c r="L21" s="18" t="s">
        <v>31</v>
      </c>
      <c r="M21" s="18" t="s">
        <v>31</v>
      </c>
      <c r="N21" s="18" t="s">
        <v>33</v>
      </c>
      <c r="O21" s="18" t="s">
        <v>31</v>
      </c>
      <c r="P21" s="18" t="s">
        <v>33</v>
      </c>
      <c r="Q21" s="18">
        <v>2002.0</v>
      </c>
      <c r="R21" s="21" t="s">
        <v>103</v>
      </c>
      <c r="S21" s="21" t="s">
        <v>96</v>
      </c>
      <c r="T21" s="19"/>
      <c r="U21" s="20" t="s">
        <v>102</v>
      </c>
    </row>
    <row r="22" ht="75.0" customHeight="1">
      <c r="A22" s="12" t="s">
        <v>109</v>
      </c>
      <c r="B22" s="17" t="str">
        <f>image("https://images-na.ssl-images-amazon.com/images/I/41w%2Bo-TwrSL.jpg")</f>
        <v/>
      </c>
      <c r="C22" s="18" t="s">
        <v>110</v>
      </c>
      <c r="D22" s="18">
        <v>90.0</v>
      </c>
      <c r="E22" s="18">
        <v>16000.0</v>
      </c>
      <c r="F22" s="18">
        <v>20000.0</v>
      </c>
      <c r="G22" s="18" t="s">
        <v>111</v>
      </c>
      <c r="H22" s="18" t="s">
        <v>112</v>
      </c>
      <c r="I22" s="18"/>
      <c r="J22" s="18"/>
      <c r="K22" s="18" t="s">
        <v>31</v>
      </c>
      <c r="L22" s="18" t="s">
        <v>47</v>
      </c>
      <c r="M22" s="18" t="s">
        <v>33</v>
      </c>
      <c r="N22" s="18" t="s">
        <v>31</v>
      </c>
      <c r="O22" s="18" t="s">
        <v>33</v>
      </c>
      <c r="P22" s="18" t="s">
        <v>31</v>
      </c>
      <c r="Q22" s="18">
        <v>2007.0</v>
      </c>
      <c r="R22" s="18" t="s">
        <v>61</v>
      </c>
      <c r="S22" s="18" t="s">
        <v>113</v>
      </c>
      <c r="T22" s="19" t="s">
        <v>114</v>
      </c>
      <c r="U22" s="20" t="s">
        <v>36</v>
      </c>
    </row>
    <row r="23" ht="75.0" customHeight="1">
      <c r="A23" s="12" t="s">
        <v>96</v>
      </c>
      <c r="B23" s="17" t="str">
        <f>image("https://images-eu.ssl-images-amazon.com/images/I/51gPhJZuqQL._AC_SS350_.jpg")</f>
        <v/>
      </c>
      <c r="C23" s="18" t="s">
        <v>110</v>
      </c>
      <c r="D23" s="18">
        <v>120.0</v>
      </c>
      <c r="E23" s="18">
        <v>16000.0</v>
      </c>
      <c r="F23" s="18">
        <v>20000.0</v>
      </c>
      <c r="G23" s="18" t="s">
        <v>111</v>
      </c>
      <c r="H23" s="18" t="s">
        <v>112</v>
      </c>
      <c r="I23" s="18"/>
      <c r="J23" s="18"/>
      <c r="K23" s="18" t="s">
        <v>31</v>
      </c>
      <c r="L23" s="18" t="s">
        <v>47</v>
      </c>
      <c r="M23" s="18" t="s">
        <v>33</v>
      </c>
      <c r="N23" s="18" t="s">
        <v>31</v>
      </c>
      <c r="O23" s="18" t="s">
        <v>33</v>
      </c>
      <c r="P23" s="18" t="s">
        <v>31</v>
      </c>
      <c r="Q23" s="18">
        <v>2007.0</v>
      </c>
      <c r="R23" s="18" t="s">
        <v>92</v>
      </c>
      <c r="S23" s="18" t="s">
        <v>115</v>
      </c>
      <c r="T23" s="19" t="s">
        <v>114</v>
      </c>
      <c r="U23" s="20" t="s">
        <v>36</v>
      </c>
    </row>
    <row r="24" ht="75.0" customHeight="1">
      <c r="A24" s="12" t="s">
        <v>113</v>
      </c>
      <c r="B24" s="17" t="str">
        <f>image("https://www.claroshop.com/medios-plazavip/s2/10252/775721/5ba2ece1e397c-137541-1600x1600.jpg")</f>
        <v/>
      </c>
      <c r="C24" s="18" t="s">
        <v>110</v>
      </c>
      <c r="D24" s="18">
        <v>132.0</v>
      </c>
      <c r="E24" s="18">
        <v>64000.0</v>
      </c>
      <c r="F24" s="18">
        <v>100000.0</v>
      </c>
      <c r="G24" s="18" t="s">
        <v>116</v>
      </c>
      <c r="H24" s="18" t="s">
        <v>117</v>
      </c>
      <c r="I24" s="18">
        <v>242.0</v>
      </c>
      <c r="J24" s="18"/>
      <c r="K24" s="18" t="s">
        <v>31</v>
      </c>
      <c r="L24" s="18" t="s">
        <v>47</v>
      </c>
      <c r="M24" s="18" t="s">
        <v>33</v>
      </c>
      <c r="N24" s="18" t="s">
        <v>31</v>
      </c>
      <c r="O24" s="18" t="s">
        <v>33</v>
      </c>
      <c r="P24" s="18" t="s">
        <v>31</v>
      </c>
      <c r="Q24" s="18">
        <v>2011.0</v>
      </c>
      <c r="R24" s="18" t="s">
        <v>109</v>
      </c>
      <c r="S24" s="18" t="s">
        <v>118</v>
      </c>
      <c r="T24" s="19" t="s">
        <v>119</v>
      </c>
      <c r="U24" s="20" t="s">
        <v>36</v>
      </c>
    </row>
    <row r="25" ht="75.0" customHeight="1">
      <c r="A25" s="12" t="s">
        <v>115</v>
      </c>
      <c r="B25" s="17" t="str">
        <f>image("https://images-na.ssl-images-amazon.com/images/I/71xGnSqQUsL._SY879_.jpg")</f>
        <v/>
      </c>
      <c r="C25" s="18" t="s">
        <v>110</v>
      </c>
      <c r="D25" s="18">
        <v>132.0</v>
      </c>
      <c r="E25" s="18">
        <v>64000.0</v>
      </c>
      <c r="F25" s="18">
        <v>100000.0</v>
      </c>
      <c r="G25" s="18" t="s">
        <v>116</v>
      </c>
      <c r="H25" s="18" t="s">
        <v>117</v>
      </c>
      <c r="I25" s="18">
        <v>242.0</v>
      </c>
      <c r="J25" s="18"/>
      <c r="K25" s="18" t="s">
        <v>31</v>
      </c>
      <c r="L25" s="18" t="s">
        <v>47</v>
      </c>
      <c r="M25" s="18" t="s">
        <v>33</v>
      </c>
      <c r="N25" s="18" t="s">
        <v>31</v>
      </c>
      <c r="O25" s="18" t="s">
        <v>33</v>
      </c>
      <c r="P25" s="18" t="s">
        <v>31</v>
      </c>
      <c r="Q25" s="18">
        <v>2011.0</v>
      </c>
      <c r="R25" s="18" t="s">
        <v>96</v>
      </c>
      <c r="S25" s="18" t="s">
        <v>120</v>
      </c>
      <c r="T25" s="19" t="s">
        <v>119</v>
      </c>
      <c r="U25" s="20" t="s">
        <v>36</v>
      </c>
    </row>
    <row r="26" ht="75.0" customHeight="1">
      <c r="A26" s="12" t="s">
        <v>118</v>
      </c>
      <c r="B26" s="17"/>
      <c r="C26" s="18"/>
      <c r="D26" s="18">
        <v>396.0</v>
      </c>
      <c r="E26" s="18">
        <v>64000.0</v>
      </c>
      <c r="F26" s="18">
        <v>90000.0</v>
      </c>
      <c r="G26" s="18" t="s">
        <v>116</v>
      </c>
      <c r="H26" s="18"/>
      <c r="I26" s="18"/>
      <c r="J26" s="18"/>
      <c r="K26" s="18" t="s">
        <v>31</v>
      </c>
      <c r="L26" s="18" t="s">
        <v>47</v>
      </c>
      <c r="M26" s="18" t="s">
        <v>33</v>
      </c>
      <c r="N26" s="18" t="s">
        <v>31</v>
      </c>
      <c r="O26" s="18" t="s">
        <v>33</v>
      </c>
      <c r="P26" s="18" t="s">
        <v>31</v>
      </c>
      <c r="Q26" s="18">
        <v>2019.0</v>
      </c>
      <c r="R26" s="18" t="s">
        <v>113</v>
      </c>
      <c r="S26" s="18" t="s">
        <v>39</v>
      </c>
      <c r="T26" s="19"/>
      <c r="U26" s="20" t="s">
        <v>36</v>
      </c>
    </row>
    <row r="27" ht="75.0" customHeight="1">
      <c r="A27" s="23" t="s">
        <v>120</v>
      </c>
      <c r="B27" s="24"/>
      <c r="C27" s="25"/>
      <c r="D27" s="25">
        <v>396.0</v>
      </c>
      <c r="E27" s="25">
        <v>64000.0</v>
      </c>
      <c r="F27" s="25">
        <v>90000.0</v>
      </c>
      <c r="G27" s="25" t="s">
        <v>116</v>
      </c>
      <c r="H27" s="25"/>
      <c r="I27" s="25"/>
      <c r="J27" s="25"/>
      <c r="K27" s="25" t="s">
        <v>31</v>
      </c>
      <c r="L27" s="25" t="s">
        <v>47</v>
      </c>
      <c r="M27" s="25" t="s">
        <v>33</v>
      </c>
      <c r="N27" s="25" t="s">
        <v>31</v>
      </c>
      <c r="O27" s="25" t="s">
        <v>33</v>
      </c>
      <c r="P27" s="25" t="s">
        <v>31</v>
      </c>
      <c r="Q27" s="25">
        <v>2019.0</v>
      </c>
      <c r="R27" s="25" t="s">
        <v>115</v>
      </c>
      <c r="S27" s="25" t="s">
        <v>39</v>
      </c>
      <c r="T27" s="26"/>
      <c r="U27" s="27" t="s">
        <v>36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T1:T2"/>
    <mergeCell ref="U1:U2"/>
    <mergeCell ref="A1:A2"/>
    <mergeCell ref="B1:B2"/>
    <mergeCell ref="C1:D1"/>
    <mergeCell ref="E1:F1"/>
    <mergeCell ref="G1:J1"/>
    <mergeCell ref="K1:N1"/>
    <mergeCell ref="O1:P1"/>
  </mergeCells>
  <hyperlinks>
    <hyperlink r:id="rId1" location="cite_note-5" ref="H7"/>
    <hyperlink r:id="rId2" ref="R7"/>
    <hyperlink r:id="rId3" ref="S7"/>
    <hyperlink r:id="rId4" location="cite_note-6" ref="H8"/>
    <hyperlink r:id="rId5" ref="R8"/>
    <hyperlink r:id="rId6" ref="S8"/>
    <hyperlink r:id="rId7" location="cite_note-7" ref="H9"/>
    <hyperlink r:id="rId8" ref="R9"/>
    <hyperlink r:id="rId9" ref="S15"/>
    <hyperlink r:id="rId10" ref="R16"/>
    <hyperlink r:id="rId11" location="cite_note-10" ref="H17"/>
    <hyperlink r:id="rId12" ref="R17"/>
    <hyperlink r:id="rId13" ref="S17"/>
    <hyperlink r:id="rId14" ref="R18"/>
    <hyperlink r:id="rId15" location="TI-Nspire_CAS" ref="S18"/>
    <hyperlink r:id="rId16" location="cite_note-11" ref="H20"/>
    <hyperlink r:id="rId17" ref="R20"/>
    <hyperlink r:id="rId18" location="Voyage_200" ref="S20"/>
    <hyperlink r:id="rId19" location="cite_note-12" ref="H21"/>
    <hyperlink r:id="rId20" location="TI-92_Plus" ref="R21"/>
    <hyperlink r:id="rId21" location="TI-Nspire_CAS" ref="S21"/>
  </hyperlinks>
  <drawing r:id="rId22"/>
</worksheet>
</file>